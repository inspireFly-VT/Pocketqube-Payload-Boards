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Users\shane\Documents\GitHub\Pocketqube-Payload-Boards\DemoBoard\"/>
    </mc:Choice>
  </mc:AlternateContent>
  <xr:revisionPtr revIDLastSave="0" documentId="8_{CAB68ACB-0E9F-45D3-B134-3CB079277813}" xr6:coauthVersionLast="47" xr6:coauthVersionMax="47" xr10:uidLastSave="{00000000-0000-0000-0000-000000000000}"/>
  <bookViews>
    <workbookView xWindow="-83" yWindow="0" windowWidth="10965" windowHeight="12863" xr2:uid="{90A7F372-49DC-4743-8A39-617F3F98A630}"/>
  </bookViews>
  <sheets>
    <sheet name="Ordering Sheet" sheetId="1" r:id="rId1"/>
    <sheet name="BOM Comparison" sheetId="3" r:id="rId2"/>
    <sheet name="Constan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G3" i="1" s="1"/>
  <c r="E2" i="1"/>
  <c r="G2" i="1" s="1"/>
  <c r="G8" i="1" l="1"/>
</calcChain>
</file>

<file path=xl/sharedStrings.xml><?xml version="1.0" encoding="utf-8"?>
<sst xmlns="http://schemas.openxmlformats.org/spreadsheetml/2006/main" count="103" uniqueCount="92">
  <si>
    <t>Distributor</t>
  </si>
  <si>
    <t>Part Number</t>
  </si>
  <si>
    <t>Part Description</t>
  </si>
  <si>
    <t>Quantity Per Board</t>
  </si>
  <si>
    <t>Quantity To Order</t>
  </si>
  <si>
    <t xml:space="preserve">Cost Per </t>
  </si>
  <si>
    <t>Total</t>
  </si>
  <si>
    <t>Link</t>
  </si>
  <si>
    <t>Digikey</t>
  </si>
  <si>
    <t>MMC5983MA</t>
  </si>
  <si>
    <t>MAGNETOMETER 3-AXIS SPI/I2C LGA</t>
  </si>
  <si>
    <t>https://www.digikey.com/en/products/detail/memsic-inc/MMC5983MA/10452795</t>
  </si>
  <si>
    <t>Mouser</t>
  </si>
  <si>
    <t>410-ICM-42670-P</t>
  </si>
  <si>
    <t>IMU ACCEL/GYRO 6AXIS SPI/I2C LGA</t>
  </si>
  <si>
    <t>https://www.mouser.com/ProductDetail/TDK-InvenSense/ICM-42670-P?qs=iLbezkQI%2BsgK8sMF5V7fQQ%3D%3D</t>
  </si>
  <si>
    <t>Total Price</t>
  </si>
  <si>
    <t>Sourced</t>
  </si>
  <si>
    <t>Placed</t>
  </si>
  <si>
    <t>References</t>
  </si>
  <si>
    <t>Value</t>
  </si>
  <si>
    <t>Footprint</t>
  </si>
  <si>
    <t>Quantity</t>
  </si>
  <si>
    <t>C4, C5, C6, C7, C8, C10, C11, C12, C13, C16, C17, C19, C24</t>
  </si>
  <si>
    <t>100nF</t>
  </si>
  <si>
    <t>C_0402_1005Metric_Pad0.74x0.62mm_HandSolder</t>
  </si>
  <si>
    <t>C3, C9, C20, C21</t>
  </si>
  <si>
    <t>1uF</t>
  </si>
  <si>
    <t>C1, C2</t>
  </si>
  <si>
    <t>15pF</t>
  </si>
  <si>
    <t>C14, C15</t>
  </si>
  <si>
    <t>18pF</t>
  </si>
  <si>
    <t>C18, C22</t>
  </si>
  <si>
    <t>10uF</t>
  </si>
  <si>
    <t>C23, C25</t>
  </si>
  <si>
    <t>47uF</t>
  </si>
  <si>
    <t>C_1206_3216Metric_Pad1.33x1.80mm_HandSolder</t>
  </si>
  <si>
    <t>R3, R7, R11</t>
  </si>
  <si>
    <t>10k</t>
  </si>
  <si>
    <t>R_0402_1005Metric_Pad0.72x0.64mm_HandSolder</t>
  </si>
  <si>
    <t>R1, R6</t>
  </si>
  <si>
    <t>5.1k</t>
  </si>
  <si>
    <t>R2, R4</t>
  </si>
  <si>
    <t>R5</t>
  </si>
  <si>
    <t>1k</t>
  </si>
  <si>
    <t>R10</t>
  </si>
  <si>
    <t>U1</t>
  </si>
  <si>
    <t>RP2040</t>
  </si>
  <si>
    <t>QFN-56-1EP_7x7mm_P0.4mm_EP3.2x3.2mm</t>
  </si>
  <si>
    <t>U2</t>
  </si>
  <si>
    <t>W25Q128JVSIM</t>
  </si>
  <si>
    <t>SOIC_128JVSIM_WIN</t>
  </si>
  <si>
    <t>U3</t>
  </si>
  <si>
    <t>MCP2518FDT-E_QBB</t>
  </si>
  <si>
    <t>SON65P450X300X90-15N</t>
  </si>
  <si>
    <t>U4</t>
  </si>
  <si>
    <t>TCAN332DCNR</t>
  </si>
  <si>
    <t>SOT65P280X145-8N</t>
  </si>
  <si>
    <t>U5</t>
  </si>
  <si>
    <t>TLV75533PDBVR</t>
  </si>
  <si>
    <t>SOT-23-5</t>
  </si>
  <si>
    <t>Y1</t>
  </si>
  <si>
    <t>ABM8-272-T3</t>
  </si>
  <si>
    <t>XTAL_ABM8-272-T3</t>
  </si>
  <si>
    <t>Y2</t>
  </si>
  <si>
    <t>ABM8-20.000MHZ-10-B1U-T</t>
  </si>
  <si>
    <t>SW1, SW2</t>
  </si>
  <si>
    <t>SW_Push</t>
  </si>
  <si>
    <t>SW_TL1015AF160QG</t>
  </si>
  <si>
    <t>CR1</t>
  </si>
  <si>
    <t>USBLC6-2SC6</t>
  </si>
  <si>
    <t>SOT-23-6</t>
  </si>
  <si>
    <t>TP1</t>
  </si>
  <si>
    <t>1.2V</t>
  </si>
  <si>
    <t>TestPoint_Pad_D1.0mm</t>
  </si>
  <si>
    <t>TP2</t>
  </si>
  <si>
    <t>GND</t>
  </si>
  <si>
    <t>TP3</t>
  </si>
  <si>
    <t>3.3V</t>
  </si>
  <si>
    <t>J1</t>
  </si>
  <si>
    <t>USB4110GFA</t>
  </si>
  <si>
    <t>GCT_USB4110GFA</t>
  </si>
  <si>
    <t>J6</t>
  </si>
  <si>
    <t>M55-7101242R</t>
  </si>
  <si>
    <t>HARWIN_M55-7101242R</t>
  </si>
  <si>
    <t>J7</t>
  </si>
  <si>
    <t>MSD-1-A</t>
  </si>
  <si>
    <t>CUI_MSD-1-A</t>
  </si>
  <si>
    <t>J8</t>
  </si>
  <si>
    <t>Conn_01x17_Pin</t>
  </si>
  <si>
    <t>PinSocket_1x17_P2.54mm_Vertical</t>
  </si>
  <si>
    <t># of boards populated: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</si>
</sst>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?_);_(@_)"/>
  </numFmts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memsic-inc/MMC5983MA/10452795" TargetMode="External"/><Relationship Id="rId1" Type="http://schemas.openxmlformats.org/officeDocument/2006/relationships/hyperlink" Target="https://www.mouser.com/ProductDetail/TDK-InvenSense/ICM-42670-P?qs=iLbezkQI%2BsgK8sMF5V7fQ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212D-D2B1-4AA1-8E95-17EB777828EB}">
  <dimension ref="A1:H10"/>
  <sheetViews>
    <sheetView tabSelected="1" zoomScale="85" zoomScaleNormal="85" workbookViewId="0">
      <selection activeCell="F3" sqref="F3"/>
    </sheetView>
  </sheetViews>
  <sheetFormatPr defaultRowHeight="14.25"/>
  <cols>
    <col min="1" max="1" width="9.7109375" customWidth="1"/>
    <col min="2" max="2" width="23" style="4" bestFit="1" customWidth="1"/>
    <col min="3" max="3" width="35.5703125" bestFit="1" customWidth="1"/>
    <col min="4" max="4" width="16.42578125" bestFit="1" customWidth="1"/>
    <col min="5" max="5" width="16.42578125" customWidth="1"/>
    <col min="6" max="6" width="9" style="3" bestFit="1" customWidth="1"/>
    <col min="7" max="7" width="9" style="2"/>
  </cols>
  <sheetData>
    <row r="1" spans="1:8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s="3" t="s">
        <v>5</v>
      </c>
      <c r="G1" s="2" t="s">
        <v>6</v>
      </c>
      <c r="H1" t="s">
        <v>7</v>
      </c>
    </row>
    <row r="2" spans="1:8" ht="15">
      <c r="A2" t="s">
        <v>8</v>
      </c>
      <c r="B2" t="s">
        <v>9</v>
      </c>
      <c r="C2" t="s">
        <v>10</v>
      </c>
      <c r="D2">
        <v>1</v>
      </c>
      <c r="E2">
        <f xml:space="preserve"> D2 *Constants!$C$1</f>
        <v>5</v>
      </c>
      <c r="F2" s="3">
        <v>2.4900000000000002</v>
      </c>
      <c r="G2" s="2">
        <f xml:space="preserve"> E2 *F2</f>
        <v>12.450000000000001</v>
      </c>
      <c r="H2" s="6" t="s">
        <v>11</v>
      </c>
    </row>
    <row r="3" spans="1:8" ht="15">
      <c r="A3" t="s">
        <v>12</v>
      </c>
      <c r="B3" t="s">
        <v>13</v>
      </c>
      <c r="C3" t="s">
        <v>14</v>
      </c>
      <c r="D3">
        <v>1</v>
      </c>
      <c r="E3">
        <f xml:space="preserve"> D3 *Constants!$C$1</f>
        <v>5</v>
      </c>
      <c r="F3" s="3">
        <v>3.29</v>
      </c>
      <c r="G3" s="2">
        <f t="shared" ref="G3" si="0" xml:space="preserve"> E3 *F3</f>
        <v>16.45</v>
      </c>
      <c r="H3" s="6" t="s">
        <v>15</v>
      </c>
    </row>
    <row r="4" spans="1:8">
      <c r="B4"/>
    </row>
    <row r="5" spans="1:8">
      <c r="B5"/>
    </row>
    <row r="8" spans="1:8">
      <c r="A8" t="s">
        <v>16</v>
      </c>
      <c r="G8" s="2">
        <f>SUM(G2:G7)</f>
        <v>28.9</v>
      </c>
    </row>
    <row r="10" spans="1:8" ht="15"/>
  </sheetData>
  <hyperlinks>
    <hyperlink ref="H3" r:id="rId1" xr:uid="{8C5293D6-093B-43E5-ABC0-07C47E1417A2}"/>
    <hyperlink ref="H2" r:id="rId2" xr:uid="{0D4F2389-BDF9-49B3-BF6C-00960A4BA742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EA32-5678-41C9-92DA-56BDDCDB8FAB}">
  <dimension ref="A1:G28"/>
  <sheetViews>
    <sheetView topLeftCell="A4" workbookViewId="0">
      <selection activeCell="E27" activeCellId="2" sqref="E25 E26 E27"/>
    </sheetView>
  </sheetViews>
  <sheetFormatPr defaultRowHeight="14.25"/>
  <cols>
    <col min="4" max="4" width="48.28515625" bestFit="1" customWidth="1"/>
    <col min="5" max="5" width="23" bestFit="1" customWidth="1"/>
    <col min="6" max="6" width="8.85546875" customWidth="1"/>
  </cols>
  <sheetData>
    <row r="1" spans="1:7"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>
        <v>1</v>
      </c>
      <c r="D2" t="s">
        <v>23</v>
      </c>
      <c r="E2" t="s">
        <v>24</v>
      </c>
      <c r="F2" t="s">
        <v>25</v>
      </c>
      <c r="G2">
        <v>13</v>
      </c>
    </row>
    <row r="3" spans="1:7">
      <c r="A3">
        <v>2</v>
      </c>
      <c r="D3" t="s">
        <v>26</v>
      </c>
      <c r="E3" t="s">
        <v>27</v>
      </c>
      <c r="F3" t="s">
        <v>25</v>
      </c>
      <c r="G3">
        <v>4</v>
      </c>
    </row>
    <row r="4" spans="1:7">
      <c r="A4">
        <v>3</v>
      </c>
      <c r="D4" t="s">
        <v>28</v>
      </c>
      <c r="E4" t="s">
        <v>29</v>
      </c>
      <c r="F4" t="s">
        <v>25</v>
      </c>
      <c r="G4">
        <v>2</v>
      </c>
    </row>
    <row r="5" spans="1:7">
      <c r="A5">
        <v>4</v>
      </c>
      <c r="D5" t="s">
        <v>30</v>
      </c>
      <c r="E5" t="s">
        <v>31</v>
      </c>
      <c r="F5" t="s">
        <v>25</v>
      </c>
      <c r="G5">
        <v>2</v>
      </c>
    </row>
    <row r="6" spans="1:7">
      <c r="A6">
        <v>5</v>
      </c>
      <c r="D6" t="s">
        <v>32</v>
      </c>
      <c r="E6" t="s">
        <v>33</v>
      </c>
      <c r="F6" t="s">
        <v>25</v>
      </c>
      <c r="G6">
        <v>2</v>
      </c>
    </row>
    <row r="7" spans="1:7">
      <c r="A7">
        <v>6</v>
      </c>
      <c r="D7" t="s">
        <v>34</v>
      </c>
      <c r="E7" t="s">
        <v>35</v>
      </c>
      <c r="F7" t="s">
        <v>36</v>
      </c>
      <c r="G7">
        <v>2</v>
      </c>
    </row>
    <row r="8" spans="1:7">
      <c r="A8">
        <v>7</v>
      </c>
      <c r="D8" t="s">
        <v>37</v>
      </c>
      <c r="E8" t="s">
        <v>38</v>
      </c>
      <c r="F8" t="s">
        <v>39</v>
      </c>
      <c r="G8">
        <v>3</v>
      </c>
    </row>
    <row r="9" spans="1:7">
      <c r="A9">
        <v>8</v>
      </c>
      <c r="D9" t="s">
        <v>40</v>
      </c>
      <c r="E9" t="s">
        <v>41</v>
      </c>
      <c r="F9" t="s">
        <v>39</v>
      </c>
      <c r="G9">
        <v>2</v>
      </c>
    </row>
    <row r="10" spans="1:7">
      <c r="A10">
        <v>9</v>
      </c>
      <c r="D10" t="s">
        <v>42</v>
      </c>
      <c r="E10">
        <v>27.4</v>
      </c>
      <c r="F10" t="s">
        <v>39</v>
      </c>
      <c r="G10">
        <v>2</v>
      </c>
    </row>
    <row r="11" spans="1:7">
      <c r="A11">
        <v>10</v>
      </c>
      <c r="D11" t="s">
        <v>43</v>
      </c>
      <c r="E11" t="s">
        <v>44</v>
      </c>
      <c r="F11" t="s">
        <v>39</v>
      </c>
      <c r="G11">
        <v>1</v>
      </c>
    </row>
    <row r="12" spans="1:7">
      <c r="A12">
        <v>11</v>
      </c>
      <c r="D12" t="s">
        <v>45</v>
      </c>
      <c r="E12">
        <v>120</v>
      </c>
      <c r="F12" t="s">
        <v>39</v>
      </c>
      <c r="G12">
        <v>1</v>
      </c>
    </row>
    <row r="13" spans="1:7">
      <c r="A13">
        <v>12</v>
      </c>
      <c r="D13" t="s">
        <v>46</v>
      </c>
      <c r="E13" t="s">
        <v>47</v>
      </c>
      <c r="F13" t="s">
        <v>48</v>
      </c>
      <c r="G13">
        <v>1</v>
      </c>
    </row>
    <row r="14" spans="1:7">
      <c r="A14">
        <v>13</v>
      </c>
      <c r="D14" t="s">
        <v>49</v>
      </c>
      <c r="E14" t="s">
        <v>50</v>
      </c>
      <c r="F14" t="s">
        <v>51</v>
      </c>
      <c r="G14">
        <v>1</v>
      </c>
    </row>
    <row r="15" spans="1:7">
      <c r="A15">
        <v>14</v>
      </c>
      <c r="D15" t="s">
        <v>52</v>
      </c>
      <c r="E15" t="s">
        <v>53</v>
      </c>
      <c r="F15" t="s">
        <v>54</v>
      </c>
      <c r="G15">
        <v>1</v>
      </c>
    </row>
    <row r="16" spans="1:7">
      <c r="A16">
        <v>15</v>
      </c>
      <c r="D16" t="s">
        <v>55</v>
      </c>
      <c r="E16" t="s">
        <v>56</v>
      </c>
      <c r="F16" t="s">
        <v>57</v>
      </c>
      <c r="G16">
        <v>1</v>
      </c>
    </row>
    <row r="17" spans="1:7">
      <c r="A17">
        <v>16</v>
      </c>
      <c r="D17" t="s">
        <v>58</v>
      </c>
      <c r="E17" t="s">
        <v>59</v>
      </c>
      <c r="F17" t="s">
        <v>60</v>
      </c>
      <c r="G17">
        <v>1</v>
      </c>
    </row>
    <row r="18" spans="1:7">
      <c r="A18">
        <v>17</v>
      </c>
      <c r="D18" t="s">
        <v>61</v>
      </c>
      <c r="E18" t="s">
        <v>62</v>
      </c>
      <c r="F18" t="s">
        <v>63</v>
      </c>
      <c r="G18">
        <v>1</v>
      </c>
    </row>
    <row r="19" spans="1:7">
      <c r="A19">
        <v>18</v>
      </c>
      <c r="D19" t="s">
        <v>64</v>
      </c>
      <c r="E19" t="s">
        <v>65</v>
      </c>
      <c r="F19" t="s">
        <v>63</v>
      </c>
      <c r="G19">
        <v>1</v>
      </c>
    </row>
    <row r="20" spans="1:7">
      <c r="A20">
        <v>19</v>
      </c>
      <c r="D20" t="s">
        <v>66</v>
      </c>
      <c r="E20" t="s">
        <v>67</v>
      </c>
      <c r="F20" t="s">
        <v>68</v>
      </c>
      <c r="G20">
        <v>2</v>
      </c>
    </row>
    <row r="21" spans="1:7">
      <c r="A21">
        <v>20</v>
      </c>
      <c r="D21" t="s">
        <v>69</v>
      </c>
      <c r="E21" t="s">
        <v>70</v>
      </c>
      <c r="F21" t="s">
        <v>71</v>
      </c>
      <c r="G21">
        <v>1</v>
      </c>
    </row>
    <row r="22" spans="1:7">
      <c r="A22">
        <v>21</v>
      </c>
      <c r="D22" t="s">
        <v>72</v>
      </c>
      <c r="E22" t="s">
        <v>73</v>
      </c>
      <c r="F22" t="s">
        <v>74</v>
      </c>
      <c r="G22">
        <v>1</v>
      </c>
    </row>
    <row r="23" spans="1:7">
      <c r="A23">
        <v>22</v>
      </c>
      <c r="D23" t="s">
        <v>75</v>
      </c>
      <c r="E23" t="s">
        <v>76</v>
      </c>
      <c r="F23" t="s">
        <v>74</v>
      </c>
      <c r="G23">
        <v>1</v>
      </c>
    </row>
    <row r="24" spans="1:7">
      <c r="A24">
        <v>23</v>
      </c>
      <c r="D24" t="s">
        <v>77</v>
      </c>
      <c r="E24" t="s">
        <v>78</v>
      </c>
      <c r="F24" t="s">
        <v>74</v>
      </c>
      <c r="G24">
        <v>1</v>
      </c>
    </row>
    <row r="25" spans="1:7">
      <c r="A25">
        <v>24</v>
      </c>
      <c r="D25" t="s">
        <v>79</v>
      </c>
      <c r="E25" t="s">
        <v>80</v>
      </c>
      <c r="F25" t="s">
        <v>81</v>
      </c>
      <c r="G25">
        <v>1</v>
      </c>
    </row>
    <row r="26" spans="1:7">
      <c r="A26">
        <v>25</v>
      </c>
      <c r="D26" t="s">
        <v>82</v>
      </c>
      <c r="E26" t="s">
        <v>83</v>
      </c>
      <c r="F26" t="s">
        <v>84</v>
      </c>
      <c r="G26">
        <v>1</v>
      </c>
    </row>
    <row r="27" spans="1:7">
      <c r="A27">
        <v>26</v>
      </c>
      <c r="D27" t="s">
        <v>85</v>
      </c>
      <c r="E27" t="s">
        <v>86</v>
      </c>
      <c r="F27" t="s">
        <v>87</v>
      </c>
      <c r="G27">
        <v>1</v>
      </c>
    </row>
    <row r="28" spans="1:7">
      <c r="A28">
        <v>27</v>
      </c>
      <c r="D28" t="s">
        <v>88</v>
      </c>
      <c r="E28" t="s">
        <v>89</v>
      </c>
      <c r="F28" t="s">
        <v>90</v>
      </c>
      <c r="G2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4F03-FD0B-43C0-A9EF-67AB4B7E829F}">
  <dimension ref="A1:C1"/>
  <sheetViews>
    <sheetView workbookViewId="0">
      <selection activeCell="F24" sqref="F24"/>
    </sheetView>
  </sheetViews>
  <sheetFormatPr defaultRowHeight="14.25"/>
  <sheetData>
    <row r="1" spans="1:3">
      <c r="A1" s="5" t="s">
        <v>91</v>
      </c>
      <c r="B1" s="5"/>
      <c r="C1" s="1">
        <v>5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4b04c5-f0f2-41ca-97d7-96b56d605ba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47E7CF95D5E546B86E72160B5818B0" ma:contentTypeVersion="10" ma:contentTypeDescription="Create a new document." ma:contentTypeScope="" ma:versionID="f0a085dd76b53829314dccc1c54eb4a9">
  <xsd:schema xmlns:xsd="http://www.w3.org/2001/XMLSchema" xmlns:xs="http://www.w3.org/2001/XMLSchema" xmlns:p="http://schemas.microsoft.com/office/2006/metadata/properties" xmlns:ns2="584b04c5-f0f2-41ca-97d7-96b56d605ba6" targetNamespace="http://schemas.microsoft.com/office/2006/metadata/properties" ma:root="true" ma:fieldsID="5f590af678e63a118b516a3932571a92" ns2:_="">
    <xsd:import namespace="584b04c5-f0f2-41ca-97d7-96b56d605b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b04c5-f0f2-41ca-97d7-96b56d605b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AEB660-D6BE-4955-A7C1-A08F7D931700}"/>
</file>

<file path=customXml/itemProps2.xml><?xml version="1.0" encoding="utf-8"?>
<ds:datastoreItem xmlns:ds="http://schemas.openxmlformats.org/officeDocument/2006/customXml" ds:itemID="{B527B8E0-DBF9-47F7-B426-14F59D24C42D}"/>
</file>

<file path=customXml/itemProps3.xml><?xml version="1.0" encoding="utf-8"?>
<ds:datastoreItem xmlns:ds="http://schemas.openxmlformats.org/officeDocument/2006/customXml" ds:itemID="{FCCE723B-9733-48E4-A3D2-DDF25EAB08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Wyman, Shane</dc:creator>
  <cp:keywords/>
  <dc:description/>
  <cp:lastModifiedBy/>
  <cp:revision/>
  <dcterms:created xsi:type="dcterms:W3CDTF">2025-12-01T15:07:49Z</dcterms:created>
  <dcterms:modified xsi:type="dcterms:W3CDTF">2026-02-25T05:01:55Z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0x010100C047E7CF95D5E546B86E72160B5818B0</vt:lpwstr>
  </property>
</Properties>
</file>