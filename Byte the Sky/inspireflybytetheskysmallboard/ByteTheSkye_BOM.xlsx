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\Downloads\"/>
    </mc:Choice>
  </mc:AlternateContent>
  <xr:revisionPtr revIDLastSave="0" documentId="13_ncr:1_{88F612C0-CF5F-4DDC-92AE-CE76B263A026}" xr6:coauthVersionLast="47" xr6:coauthVersionMax="47" xr10:uidLastSave="{00000000-0000-0000-0000-000000000000}"/>
  <bookViews>
    <workbookView xWindow="2730" yWindow="2730" windowWidth="28800" windowHeight="15825" xr2:uid="{1541C50B-7FC4-48E3-8867-20EDB5C9B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8" i="1"/>
  <c r="E8" i="1"/>
  <c r="E3" i="1"/>
  <c r="G3" i="1" s="1"/>
  <c r="E4" i="1"/>
  <c r="G4" i="1" s="1"/>
  <c r="E5" i="1"/>
  <c r="G5" i="1" s="1"/>
  <c r="E6" i="1"/>
  <c r="G6" i="1" s="1"/>
  <c r="E7" i="1"/>
  <c r="G7" i="1" s="1"/>
  <c r="E9" i="1"/>
  <c r="G9" i="1" s="1"/>
  <c r="E10" i="1"/>
  <c r="G10" i="1" s="1"/>
  <c r="E11" i="1"/>
  <c r="G11" i="1" s="1"/>
  <c r="E2" i="1"/>
  <c r="G2" i="1" s="1"/>
</calcChain>
</file>

<file path=xl/sharedStrings.xml><?xml version="1.0" encoding="utf-8"?>
<sst xmlns="http://schemas.openxmlformats.org/spreadsheetml/2006/main" count="37" uniqueCount="28">
  <si>
    <t>Distributor</t>
  </si>
  <si>
    <t>Part Number</t>
  </si>
  <si>
    <t>Part Description</t>
  </si>
  <si>
    <t>Quanitity Per Board</t>
  </si>
  <si>
    <t>Quantity to order</t>
  </si>
  <si>
    <t>Cost per</t>
  </si>
  <si>
    <t>Total</t>
  </si>
  <si>
    <t>N34TS04MT3ETG</t>
  </si>
  <si>
    <t>THERMOSTAT PROG ACTIVE LOW 8TDFN</t>
  </si>
  <si>
    <t>Digikey</t>
  </si>
  <si>
    <t>VEMD8083</t>
  </si>
  <si>
    <t>SILICON PIN PHOTODIODE</t>
  </si>
  <si>
    <t>OPA381AIDGKR</t>
  </si>
  <si>
    <t>IC TRANSIMPEDANCE 1 CIRC 8VSSOP</t>
  </si>
  <si>
    <t>LSM6DSVTR</t>
  </si>
  <si>
    <t>INEMO INERTIAL MODULE: 3D ACCELE</t>
  </si>
  <si>
    <t>IIS2MDCTR</t>
  </si>
  <si>
    <t>SEN MR I2C/SPI 12-LGA</t>
  </si>
  <si>
    <t>CL05B104KP5VPNC</t>
  </si>
  <si>
    <t>CAP CER 100NF 10V X7R 0402</t>
  </si>
  <si>
    <t>CL05A224KP5NNNC</t>
  </si>
  <si>
    <t>CAP CER 0.22UF 10V X5R 0402</t>
  </si>
  <si>
    <t>ERA-2AEB103X</t>
  </si>
  <si>
    <t>RES SMD 10K OHM 0.1% 1/16W 0402</t>
  </si>
  <si>
    <t>ERA-2AEB104X</t>
  </si>
  <si>
    <t>RES SMD 100K OHM 0.1% 1/16W 0402</t>
  </si>
  <si>
    <t>CAP CER 10UF 10V X5R 0402</t>
  </si>
  <si>
    <t>CC0402MRX5R6BB106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</si>
</sst>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892C-D31C-4E56-ADA6-4A82E30382AE}">
  <dimension ref="A1:G12"/>
  <sheetViews>
    <sheetView tabSelected="1" workbookViewId="0">
      <selection activeCell="G18" sqref="G18"/>
    </sheetView>
  </sheetViews>
  <sheetFormatPr defaultRowHeight="15" x14ac:dyDescent="0.25"/>
  <cols>
    <col min="1" max="1" width="10.42578125" bestFit="1" customWidth="1"/>
    <col min="2" max="2" width="18.140625" bestFit="1" customWidth="1"/>
    <col min="3" max="3" width="35.85546875" bestFit="1" customWidth="1"/>
    <col min="4" max="4" width="18.28515625" bestFit="1" customWidth="1"/>
    <col min="5" max="5" width="15.85546875" bestFit="1" customWidth="1"/>
    <col min="6" max="6" width="9.140625" style="2"/>
    <col min="7" max="7" width="9.1406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</row>
    <row r="2" spans="1:7" x14ac:dyDescent="0.25">
      <c r="A2" t="s">
        <v>9</v>
      </c>
      <c r="B2" t="s">
        <v>7</v>
      </c>
      <c r="C2" t="s">
        <v>8</v>
      </c>
      <c r="D2">
        <v>1</v>
      </c>
      <c r="E2">
        <f>D2*5</f>
        <v>5</v>
      </c>
      <c r="F2" s="2">
        <v>0.65</v>
      </c>
      <c r="G2" s="2">
        <f>E2*F2</f>
        <v>3.25</v>
      </c>
    </row>
    <row r="3" spans="1:7" x14ac:dyDescent="0.25">
      <c r="A3" t="s">
        <v>9</v>
      </c>
      <c r="B3" t="s">
        <v>10</v>
      </c>
      <c r="C3" t="s">
        <v>11</v>
      </c>
      <c r="D3">
        <v>1</v>
      </c>
      <c r="E3">
        <f t="shared" ref="E3:E11" si="0">D3*5</f>
        <v>5</v>
      </c>
      <c r="F3" s="2">
        <v>2.46</v>
      </c>
      <c r="G3" s="2">
        <f t="shared" ref="G3:G11" si="1">E3*F3</f>
        <v>12.3</v>
      </c>
    </row>
    <row r="4" spans="1:7" x14ac:dyDescent="0.25">
      <c r="A4" t="s">
        <v>9</v>
      </c>
      <c r="B4" t="s">
        <v>12</v>
      </c>
      <c r="C4" t="s">
        <v>13</v>
      </c>
      <c r="D4">
        <v>1</v>
      </c>
      <c r="E4">
        <f t="shared" si="0"/>
        <v>5</v>
      </c>
      <c r="F4" s="2">
        <v>2.2400000000000002</v>
      </c>
      <c r="G4" s="2">
        <f t="shared" si="1"/>
        <v>11.200000000000001</v>
      </c>
    </row>
    <row r="5" spans="1:7" x14ac:dyDescent="0.25">
      <c r="A5" t="s">
        <v>9</v>
      </c>
      <c r="B5" t="s">
        <v>14</v>
      </c>
      <c r="C5" t="s">
        <v>15</v>
      </c>
      <c r="D5">
        <v>1</v>
      </c>
      <c r="E5">
        <f t="shared" si="0"/>
        <v>5</v>
      </c>
      <c r="F5" s="2">
        <v>3.41</v>
      </c>
      <c r="G5" s="2">
        <f t="shared" si="1"/>
        <v>17.05</v>
      </c>
    </row>
    <row r="6" spans="1:7" x14ac:dyDescent="0.25">
      <c r="A6" t="s">
        <v>9</v>
      </c>
      <c r="B6" t="s">
        <v>16</v>
      </c>
      <c r="C6" t="s">
        <v>17</v>
      </c>
      <c r="D6">
        <v>1</v>
      </c>
      <c r="E6">
        <f t="shared" si="0"/>
        <v>5</v>
      </c>
      <c r="F6" s="2">
        <v>2.3199999999999998</v>
      </c>
      <c r="G6" s="2">
        <f t="shared" si="1"/>
        <v>11.6</v>
      </c>
    </row>
    <row r="7" spans="1:7" x14ac:dyDescent="0.25">
      <c r="A7" t="s">
        <v>9</v>
      </c>
      <c r="B7" t="s">
        <v>18</v>
      </c>
      <c r="C7" t="s">
        <v>19</v>
      </c>
      <c r="D7">
        <v>6</v>
      </c>
      <c r="E7">
        <f t="shared" si="0"/>
        <v>30</v>
      </c>
      <c r="F7" s="2">
        <v>0.1</v>
      </c>
      <c r="G7" s="2">
        <f t="shared" si="1"/>
        <v>3</v>
      </c>
    </row>
    <row r="8" spans="1:7" ht="30" x14ac:dyDescent="0.25">
      <c r="A8" t="s">
        <v>9</v>
      </c>
      <c r="B8" s="3" t="s">
        <v>27</v>
      </c>
      <c r="C8" s="3" t="s">
        <v>26</v>
      </c>
      <c r="D8">
        <v>1</v>
      </c>
      <c r="E8">
        <f>D8*5</f>
        <v>5</v>
      </c>
      <c r="F8" s="2">
        <v>0.21</v>
      </c>
      <c r="G8" s="2">
        <f>E8*F8</f>
        <v>1.05</v>
      </c>
    </row>
    <row r="9" spans="1:7" x14ac:dyDescent="0.25">
      <c r="A9" t="s">
        <v>9</v>
      </c>
      <c r="B9" t="s">
        <v>20</v>
      </c>
      <c r="C9" t="s">
        <v>21</v>
      </c>
      <c r="D9">
        <v>1</v>
      </c>
      <c r="E9">
        <f t="shared" si="0"/>
        <v>5</v>
      </c>
      <c r="F9" s="2">
        <v>0.08</v>
      </c>
      <c r="G9" s="2">
        <f t="shared" si="1"/>
        <v>0.4</v>
      </c>
    </row>
    <row r="10" spans="1:7" x14ac:dyDescent="0.25">
      <c r="A10" t="s">
        <v>9</v>
      </c>
      <c r="B10" t="s">
        <v>22</v>
      </c>
      <c r="C10" t="s">
        <v>23</v>
      </c>
      <c r="D10">
        <v>4</v>
      </c>
      <c r="E10">
        <f t="shared" si="0"/>
        <v>20</v>
      </c>
      <c r="F10" s="2">
        <v>0.1</v>
      </c>
      <c r="G10" s="2">
        <f t="shared" si="1"/>
        <v>2</v>
      </c>
    </row>
    <row r="11" spans="1:7" x14ac:dyDescent="0.25">
      <c r="A11" t="s">
        <v>9</v>
      </c>
      <c r="B11" t="s">
        <v>24</v>
      </c>
      <c r="C11" t="s">
        <v>25</v>
      </c>
      <c r="D11">
        <v>1</v>
      </c>
      <c r="E11">
        <f t="shared" si="0"/>
        <v>5</v>
      </c>
      <c r="F11" s="2">
        <v>0.1</v>
      </c>
      <c r="G11" s="2">
        <f t="shared" si="1"/>
        <v>0.5</v>
      </c>
    </row>
    <row r="12" spans="1:7" x14ac:dyDescent="0.25">
      <c r="G12" s="2">
        <f>SUM(G2:G11)</f>
        <v>62.349999999999994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Sethia, Hardik</dc:creator>
  <cp:lastModifiedBy>Sethia, Hardik</cp:lastModifiedBy>
  <dcterms:created xsi:type="dcterms:W3CDTF">2026-02-04T21:18:47Z</dcterms:created>
  <dcterms:modified xsi:type="dcterms:W3CDTF">2026-02-06T16:50:53Z</dcterms:modified>
</cp:coreProperties>
</file>