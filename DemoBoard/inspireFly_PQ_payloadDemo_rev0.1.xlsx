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e\Documents\GitHub\Pocketqube-Payload-Boards\DemoBoard\"/>
    </mc:Choice>
  </mc:AlternateContent>
  <xr:revisionPtr revIDLastSave="0" documentId="13_ncr:1_{5E60E50C-15B1-4EA8-83A1-1B9E9FD4DE5D}" xr6:coauthVersionLast="47" xr6:coauthVersionMax="47" xr10:uidLastSave="{00000000-0000-0000-0000-000000000000}"/>
  <bookViews>
    <workbookView xWindow="-83" yWindow="0" windowWidth="10965" windowHeight="12863" xr2:uid="{90A7F372-49DC-4743-8A39-617F3F98A630}"/>
  </bookViews>
  <sheets>
    <sheet name="Ordering Sheet" sheetId="1" r:id="rId1"/>
    <sheet name="BOM Comparison" sheetId="3" r:id="rId2"/>
    <sheet name="Constan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G25" i="1" s="1"/>
  <c r="E9" i="1"/>
  <c r="G9" i="1" s="1"/>
  <c r="E4" i="1"/>
  <c r="G4" i="1" s="1"/>
  <c r="E5" i="1"/>
  <c r="G5" i="1" s="1"/>
  <c r="E6" i="1"/>
  <c r="G6" i="1" s="1"/>
  <c r="E7" i="1"/>
  <c r="G7" i="1" s="1"/>
  <c r="E8" i="1"/>
  <c r="G8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6" i="1"/>
  <c r="G26" i="1" s="1"/>
  <c r="E3" i="1"/>
  <c r="G3" i="1" s="1"/>
  <c r="E2" i="1"/>
  <c r="G2" i="1" s="1"/>
  <c r="G27" i="1" l="1"/>
</calcChain>
</file>

<file path=xl/sharedStrings.xml><?xml version="1.0" encoding="utf-8"?>
<sst xmlns="http://schemas.openxmlformats.org/spreadsheetml/2006/main" count="169" uniqueCount="128">
  <si>
    <t>Part Number</t>
  </si>
  <si>
    <t>Total</t>
  </si>
  <si>
    <t>Distributor</t>
  </si>
  <si>
    <t>Part Description</t>
  </si>
  <si>
    <t>CL05B104KA5NNNC</t>
  </si>
  <si>
    <t>CAP CER 0.1UF 25V X7R 0402</t>
  </si>
  <si>
    <t>Quantity Per Board</t>
  </si>
  <si>
    <t># of boards populated:</t>
  </si>
  <si>
    <t>Quantity To Order</t>
  </si>
  <si>
    <t xml:space="preserve">Cost Per </t>
  </si>
  <si>
    <t>Digikey</t>
  </si>
  <si>
    <t>CL05A105KO5NNNC</t>
  </si>
  <si>
    <t>CAP CER 1UF 16V X5R 0402</t>
  </si>
  <si>
    <t>C3216X5R1C476M160AB</t>
  </si>
  <si>
    <t>CAP CER 47UF 16V X5R 1206</t>
  </si>
  <si>
    <t>CL05A106MP5NUNC</t>
  </si>
  <si>
    <t>CAP CER 10UF 10V X5R 0402</t>
  </si>
  <si>
    <t>1k</t>
  </si>
  <si>
    <t>10k</t>
  </si>
  <si>
    <t>ERA-2AEB102X</t>
  </si>
  <si>
    <t>RES SMD 1K OHM 0.1% 1/16W 0402</t>
  </si>
  <si>
    <t>ERA-2AEB103X</t>
  </si>
  <si>
    <t>RES SMD 10K OHM 0.1% 1/16W 0402</t>
  </si>
  <si>
    <t>ERA-2AEB121X</t>
  </si>
  <si>
    <t>RES SMD 120 OHM 0.1% 1/16W 0402</t>
  </si>
  <si>
    <t>TCAN332DCNR</t>
  </si>
  <si>
    <t>IC TRANSCEIVER 1/1 SOT238</t>
  </si>
  <si>
    <t>TL1015AF160QG</t>
  </si>
  <si>
    <t>SWITCH TACTILE SPST-NO 0.05A 12V</t>
  </si>
  <si>
    <t>497-5235-1-ND</t>
  </si>
  <si>
    <t>TVS DIODE 5.25VWM 17VC SOT23-6</t>
  </si>
  <si>
    <t>USB4110-GF-A</t>
  </si>
  <si>
    <t>CONN RCP USB2.0 TYP C 24P SMD RA</t>
  </si>
  <si>
    <t>Total Price</t>
  </si>
  <si>
    <t>Sourced</t>
  </si>
  <si>
    <t>Placed</t>
  </si>
  <si>
    <t>References</t>
  </si>
  <si>
    <t>Value</t>
  </si>
  <si>
    <t>Footprint</t>
  </si>
  <si>
    <t>Quantity</t>
  </si>
  <si>
    <t>100nF</t>
  </si>
  <si>
    <t>1uF</t>
  </si>
  <si>
    <t>47uF</t>
  </si>
  <si>
    <t>C_1206_3216Metric_Pad1.33x1.80mm_HandSolder</t>
  </si>
  <si>
    <t>10uF</t>
  </si>
  <si>
    <t>U3</t>
  </si>
  <si>
    <t>U4</t>
  </si>
  <si>
    <t>U5</t>
  </si>
  <si>
    <t>SOT65P280X145-8N</t>
  </si>
  <si>
    <t>Y1</t>
  </si>
  <si>
    <t>SW1, SW2</t>
  </si>
  <si>
    <t>SW_TL1015AF160QG</t>
  </si>
  <si>
    <t>CR1</t>
  </si>
  <si>
    <t>USBLC6-2SC6</t>
  </si>
  <si>
    <t>TP3</t>
  </si>
  <si>
    <t>3.3V</t>
  </si>
  <si>
    <t>TestPoint_Pad_D1.0mm</t>
  </si>
  <si>
    <t>GND</t>
  </si>
  <si>
    <t>C4, C5, C6, C7, C8, C10, C11, C12, C13, C16, C17, C19, C24</t>
  </si>
  <si>
    <t>C_0402_1005Metric_Pad0.74x0.62mm_HandSolder</t>
  </si>
  <si>
    <t>C3, C9, C20, C21</t>
  </si>
  <si>
    <t>C1, C2</t>
  </si>
  <si>
    <t>15pF</t>
  </si>
  <si>
    <t>C14, C15</t>
  </si>
  <si>
    <t>18pF</t>
  </si>
  <si>
    <t>C18, C22</t>
  </si>
  <si>
    <t>C23, C25</t>
  </si>
  <si>
    <t>R3, R7, R11</t>
  </si>
  <si>
    <t>R_0402_1005Metric_Pad0.72x0.64mm_HandSolder</t>
  </si>
  <si>
    <t>R1, R6</t>
  </si>
  <si>
    <t>5.1k</t>
  </si>
  <si>
    <t>R2, R4</t>
  </si>
  <si>
    <t>R5</t>
  </si>
  <si>
    <t>R10</t>
  </si>
  <si>
    <t>U1</t>
  </si>
  <si>
    <t>RP2040</t>
  </si>
  <si>
    <t>QFN-56-1EP_7x7mm_P0.4mm_EP3.2x3.2mm</t>
  </si>
  <si>
    <t>U2</t>
  </si>
  <si>
    <t>W25Q128JVSIM</t>
  </si>
  <si>
    <t>SOIC_128JVSIM_WIN</t>
  </si>
  <si>
    <t>MCP2518FDT-E_QBB</t>
  </si>
  <si>
    <t>SON65P450X300X90-15N</t>
  </si>
  <si>
    <t>TLV75533PDBVR</t>
  </si>
  <si>
    <t>SOT-23-5</t>
  </si>
  <si>
    <t>ABM8-272-T3</t>
  </si>
  <si>
    <t>XTAL_ABM8-272-T3</t>
  </si>
  <si>
    <t>Y2</t>
  </si>
  <si>
    <t>ABM8-20.000MHZ-10-B1U-T</t>
  </si>
  <si>
    <t>SW_Push</t>
  </si>
  <si>
    <t>SOT-23-6</t>
  </si>
  <si>
    <t>TP1</t>
  </si>
  <si>
    <t>1.2V</t>
  </si>
  <si>
    <t>TP2</t>
  </si>
  <si>
    <t>J1</t>
  </si>
  <si>
    <t>USB4110GFA</t>
  </si>
  <si>
    <t>GCT_USB4110GFA</t>
  </si>
  <si>
    <t>J6</t>
  </si>
  <si>
    <t>M55-7101242R</t>
  </si>
  <si>
    <t>HARWIN_M55-7101242R</t>
  </si>
  <si>
    <t>J7</t>
  </si>
  <si>
    <t>MSD-1-A</t>
  </si>
  <si>
    <t>CUI_MSD-1-A</t>
  </si>
  <si>
    <t>J8</t>
  </si>
  <si>
    <t>Conn_01x17_Pin</t>
  </si>
  <si>
    <t>PinSocket_1x17_P2.54mm_Vertical</t>
  </si>
  <si>
    <t>GJM1555C1H150GB01D</t>
  </si>
  <si>
    <t>CAP CER 15PF 50V C0G/NP0 0402</t>
  </si>
  <si>
    <t>GRM1555C1H180FA01D</t>
  </si>
  <si>
    <t>CAP CER 18PF 50V C0G/NP0 0402</t>
  </si>
  <si>
    <t>ERA-2AEB512X</t>
  </si>
  <si>
    <t>RES SMD 5.1K OHM 0.1% 1/16W 0402</t>
  </si>
  <si>
    <t>SC0914(13)</t>
  </si>
  <si>
    <t>IC MCU 32BIT EXT MEM 56QFN (RP2040)</t>
  </si>
  <si>
    <t>W25Q128JVSIM-ND</t>
  </si>
  <si>
    <t>IC FLASH 128MBIT SPI/QUAD 8SOIC</t>
  </si>
  <si>
    <t>MCP2518FDT-E/QBB</t>
  </si>
  <si>
    <t>IC CAN CONTROLLER SPI 14VDFN</t>
  </si>
  <si>
    <t>IC REG LINEAR 3.3V 500MA SOT23-5</t>
  </si>
  <si>
    <t>CRYSTAL 12.0000MHZ 10PF SMD</t>
  </si>
  <si>
    <t>CRYSTAL 20.0000MHZ 10PF SMD</t>
  </si>
  <si>
    <t>CONN HEADER SMD R/A 12POS 1.27MM</t>
  </si>
  <si>
    <t>CONN MICROSD CARD R/A SMD</t>
  </si>
  <si>
    <t>RP73PF1E27R4BTD</t>
  </si>
  <si>
    <t>RES 27.4 OHM 0.1% 1/10W 0402</t>
  </si>
  <si>
    <t>LTST-C190KSKT</t>
  </si>
  <si>
    <t>LTST-S270KRKT</t>
  </si>
  <si>
    <t>LED RED CLEAR CHIP SMD R/A</t>
  </si>
  <si>
    <t>LED YELLOW CLEAR CHIP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</si>
</sst>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212D-D2B1-4AA1-8E95-17EB777828EB}">
  <dimension ref="A1:G27"/>
  <sheetViews>
    <sheetView tabSelected="1" topLeftCell="C1" zoomScale="85" zoomScaleNormal="85" workbookViewId="0">
      <selection sqref="A1:G27"/>
    </sheetView>
  </sheetViews>
  <sheetFormatPr defaultRowHeight="14.25" x14ac:dyDescent="0.45"/>
  <cols>
    <col min="1" max="1" width="9.6640625" customWidth="1"/>
    <col min="2" max="2" width="23.06640625" style="5" bestFit="1" customWidth="1"/>
    <col min="3" max="3" width="35.53125" bestFit="1" customWidth="1"/>
    <col min="4" max="4" width="16.46484375" bestFit="1" customWidth="1"/>
    <col min="5" max="5" width="16.46484375" customWidth="1"/>
    <col min="6" max="6" width="9" style="4" bestFit="1" customWidth="1"/>
    <col min="7" max="7" width="9.06640625" style="2"/>
  </cols>
  <sheetData>
    <row r="1" spans="1:7" x14ac:dyDescent="0.45">
      <c r="A1" t="s">
        <v>2</v>
      </c>
      <c r="B1" s="5" t="s">
        <v>0</v>
      </c>
      <c r="C1" t="s">
        <v>3</v>
      </c>
      <c r="D1" t="s">
        <v>6</v>
      </c>
      <c r="E1" t="s">
        <v>8</v>
      </c>
      <c r="F1" s="4" t="s">
        <v>9</v>
      </c>
      <c r="G1" s="2" t="s">
        <v>1</v>
      </c>
    </row>
    <row r="2" spans="1:7" x14ac:dyDescent="0.45">
      <c r="A2" t="s">
        <v>10</v>
      </c>
      <c r="B2" s="5" t="s">
        <v>4</v>
      </c>
      <c r="C2" t="s">
        <v>5</v>
      </c>
      <c r="D2">
        <v>13</v>
      </c>
      <c r="E2">
        <f xml:space="preserve"> D2 *Constants!$C$1</f>
        <v>65</v>
      </c>
      <c r="F2" s="4">
        <v>3.0000000000000001E-3</v>
      </c>
      <c r="G2" s="2">
        <f xml:space="preserve"> E2 *F2</f>
        <v>0.19500000000000001</v>
      </c>
    </row>
    <row r="3" spans="1:7" x14ac:dyDescent="0.45">
      <c r="A3" t="s">
        <v>10</v>
      </c>
      <c r="B3" s="5" t="s">
        <v>11</v>
      </c>
      <c r="C3" t="s">
        <v>12</v>
      </c>
      <c r="D3">
        <v>4</v>
      </c>
      <c r="E3">
        <f xml:space="preserve"> D3 *Constants!$C$1</f>
        <v>20</v>
      </c>
      <c r="F3" s="4">
        <v>6.0000000000000001E-3</v>
      </c>
      <c r="G3" s="2">
        <f t="shared" ref="G3:G26" si="0" xml:space="preserve"> E3 *F3</f>
        <v>0.12</v>
      </c>
    </row>
    <row r="4" spans="1:7" x14ac:dyDescent="0.45">
      <c r="A4" t="s">
        <v>10</v>
      </c>
      <c r="B4" t="s">
        <v>105</v>
      </c>
      <c r="C4" t="s">
        <v>106</v>
      </c>
      <c r="D4">
        <v>2</v>
      </c>
      <c r="E4">
        <f xml:space="preserve"> D4 *Constants!$C$1</f>
        <v>10</v>
      </c>
      <c r="F4" s="4">
        <v>6.9000000000000006E-2</v>
      </c>
      <c r="G4" s="2">
        <f xml:space="preserve"> E4 *F4</f>
        <v>0.69000000000000006</v>
      </c>
    </row>
    <row r="5" spans="1:7" x14ac:dyDescent="0.45">
      <c r="A5" t="s">
        <v>10</v>
      </c>
      <c r="B5" t="s">
        <v>107</v>
      </c>
      <c r="C5" s="3" t="s">
        <v>108</v>
      </c>
      <c r="D5">
        <v>2</v>
      </c>
      <c r="E5">
        <f xml:space="preserve"> D5 *Constants!$C$1</f>
        <v>10</v>
      </c>
      <c r="F5" s="4">
        <v>4.8000000000000001E-2</v>
      </c>
      <c r="G5" s="2">
        <f xml:space="preserve"> E5 *F5</f>
        <v>0.48</v>
      </c>
    </row>
    <row r="6" spans="1:7" x14ac:dyDescent="0.45">
      <c r="A6" t="s">
        <v>10</v>
      </c>
      <c r="B6" s="5" t="s">
        <v>15</v>
      </c>
      <c r="C6" t="s">
        <v>16</v>
      </c>
      <c r="D6">
        <v>2</v>
      </c>
      <c r="E6">
        <f xml:space="preserve"> D6 *Constants!$C$1</f>
        <v>10</v>
      </c>
      <c r="F6" s="4">
        <v>3.7999999999999999E-2</v>
      </c>
      <c r="G6" s="2">
        <f t="shared" si="0"/>
        <v>0.38</v>
      </c>
    </row>
    <row r="7" spans="1:7" x14ac:dyDescent="0.45">
      <c r="A7" t="s">
        <v>10</v>
      </c>
      <c r="B7" s="5" t="s">
        <v>13</v>
      </c>
      <c r="C7" t="s">
        <v>14</v>
      </c>
      <c r="D7">
        <v>2</v>
      </c>
      <c r="E7">
        <f xml:space="preserve"> D7 *Constants!$C$1</f>
        <v>10</v>
      </c>
      <c r="F7" s="4">
        <v>0.51</v>
      </c>
      <c r="G7" s="2">
        <f t="shared" si="0"/>
        <v>5.0999999999999996</v>
      </c>
    </row>
    <row r="8" spans="1:7" x14ac:dyDescent="0.45">
      <c r="A8" t="s">
        <v>10</v>
      </c>
      <c r="B8" s="5" t="s">
        <v>21</v>
      </c>
      <c r="C8" t="s">
        <v>22</v>
      </c>
      <c r="D8">
        <v>3</v>
      </c>
      <c r="E8">
        <f xml:space="preserve"> D8 *Constants!$C$1</f>
        <v>15</v>
      </c>
      <c r="F8" s="4">
        <v>8.2000000000000003E-2</v>
      </c>
      <c r="G8" s="2">
        <f t="shared" si="0"/>
        <v>1.23</v>
      </c>
    </row>
    <row r="9" spans="1:7" x14ac:dyDescent="0.45">
      <c r="A9" t="s">
        <v>10</v>
      </c>
      <c r="B9" t="s">
        <v>109</v>
      </c>
      <c r="C9" t="s">
        <v>110</v>
      </c>
      <c r="D9">
        <v>2</v>
      </c>
      <c r="E9">
        <f xml:space="preserve"> D9 *Constants!$C$1</f>
        <v>10</v>
      </c>
      <c r="F9" s="4">
        <v>8.2000000000000003E-2</v>
      </c>
      <c r="G9" s="2">
        <f t="shared" si="0"/>
        <v>0.82000000000000006</v>
      </c>
    </row>
    <row r="10" spans="1:7" x14ac:dyDescent="0.45">
      <c r="A10" t="s">
        <v>10</v>
      </c>
      <c r="B10" t="s">
        <v>122</v>
      </c>
      <c r="C10" s="3" t="s">
        <v>123</v>
      </c>
      <c r="D10">
        <v>2</v>
      </c>
      <c r="E10">
        <f xml:space="preserve"> D10 *Constants!$C$1</f>
        <v>10</v>
      </c>
      <c r="F10" s="4">
        <v>0.18</v>
      </c>
      <c r="G10" s="2">
        <f t="shared" si="0"/>
        <v>1.7999999999999998</v>
      </c>
    </row>
    <row r="11" spans="1:7" x14ac:dyDescent="0.45">
      <c r="A11" t="s">
        <v>10</v>
      </c>
      <c r="B11" s="5" t="s">
        <v>19</v>
      </c>
      <c r="C11" t="s">
        <v>20</v>
      </c>
      <c r="D11">
        <v>3</v>
      </c>
      <c r="E11">
        <f xml:space="preserve"> D11 *Constants!$C$1</f>
        <v>15</v>
      </c>
      <c r="F11" s="4">
        <v>8.2000000000000003E-2</v>
      </c>
      <c r="G11" s="2">
        <f t="shared" si="0"/>
        <v>1.23</v>
      </c>
    </row>
    <row r="12" spans="1:7" x14ac:dyDescent="0.45">
      <c r="A12" t="s">
        <v>10</v>
      </c>
      <c r="B12" s="5" t="s">
        <v>23</v>
      </c>
      <c r="C12" t="s">
        <v>24</v>
      </c>
      <c r="D12">
        <v>1</v>
      </c>
      <c r="E12">
        <f xml:space="preserve"> D12 *Constants!$C$1</f>
        <v>5</v>
      </c>
      <c r="F12" s="4">
        <v>0.1</v>
      </c>
      <c r="G12" s="2">
        <f t="shared" si="0"/>
        <v>0.5</v>
      </c>
    </row>
    <row r="13" spans="1:7" x14ac:dyDescent="0.45">
      <c r="A13" t="s">
        <v>10</v>
      </c>
      <c r="B13" t="s">
        <v>111</v>
      </c>
      <c r="C13" t="s">
        <v>112</v>
      </c>
      <c r="D13">
        <v>2</v>
      </c>
      <c r="E13">
        <f xml:space="preserve"> D13 *Constants!$C$1</f>
        <v>10</v>
      </c>
      <c r="F13" s="4">
        <v>0.7</v>
      </c>
      <c r="G13" s="2">
        <f t="shared" si="0"/>
        <v>7</v>
      </c>
    </row>
    <row r="14" spans="1:7" x14ac:dyDescent="0.45">
      <c r="A14" t="s">
        <v>10</v>
      </c>
      <c r="B14" t="s">
        <v>113</v>
      </c>
      <c r="C14" t="s">
        <v>114</v>
      </c>
      <c r="D14">
        <v>1</v>
      </c>
      <c r="E14">
        <f xml:space="preserve"> D14 *Constants!$C$1</f>
        <v>5</v>
      </c>
      <c r="F14" s="4">
        <v>1.97</v>
      </c>
      <c r="G14" s="2">
        <f t="shared" si="0"/>
        <v>9.85</v>
      </c>
    </row>
    <row r="15" spans="1:7" x14ac:dyDescent="0.45">
      <c r="A15" t="s">
        <v>10</v>
      </c>
      <c r="B15" t="s">
        <v>115</v>
      </c>
      <c r="C15" t="s">
        <v>116</v>
      </c>
      <c r="D15">
        <v>1</v>
      </c>
      <c r="E15">
        <f xml:space="preserve"> D15 *Constants!$C$1</f>
        <v>5</v>
      </c>
      <c r="F15" s="4">
        <v>1.96</v>
      </c>
      <c r="G15" s="2">
        <f t="shared" si="0"/>
        <v>9.8000000000000007</v>
      </c>
    </row>
    <row r="16" spans="1:7" x14ac:dyDescent="0.45">
      <c r="A16" t="s">
        <v>10</v>
      </c>
      <c r="B16" t="s">
        <v>25</v>
      </c>
      <c r="C16" t="s">
        <v>26</v>
      </c>
      <c r="D16">
        <v>1</v>
      </c>
      <c r="E16">
        <f xml:space="preserve"> D16 *Constants!$C$1</f>
        <v>5</v>
      </c>
      <c r="F16" s="4">
        <v>2.44</v>
      </c>
      <c r="G16" s="2">
        <f t="shared" si="0"/>
        <v>12.2</v>
      </c>
    </row>
    <row r="17" spans="1:7" x14ac:dyDescent="0.45">
      <c r="A17" t="s">
        <v>10</v>
      </c>
      <c r="B17" t="s">
        <v>82</v>
      </c>
      <c r="C17" t="s">
        <v>117</v>
      </c>
      <c r="D17">
        <v>1</v>
      </c>
      <c r="E17">
        <f xml:space="preserve"> D17 *Constants!$C$1</f>
        <v>5</v>
      </c>
      <c r="F17" s="4">
        <v>0.36</v>
      </c>
      <c r="G17" s="2">
        <f t="shared" si="0"/>
        <v>1.7999999999999998</v>
      </c>
    </row>
    <row r="18" spans="1:7" x14ac:dyDescent="0.45">
      <c r="A18" t="s">
        <v>10</v>
      </c>
      <c r="B18" t="s">
        <v>84</v>
      </c>
      <c r="C18" t="s">
        <v>118</v>
      </c>
      <c r="D18">
        <v>1</v>
      </c>
      <c r="E18">
        <f xml:space="preserve"> D18 *Constants!$C$1</f>
        <v>5</v>
      </c>
      <c r="F18" s="4">
        <v>0.66</v>
      </c>
      <c r="G18" s="2">
        <f t="shared" si="0"/>
        <v>3.3000000000000003</v>
      </c>
    </row>
    <row r="19" spans="1:7" x14ac:dyDescent="0.45">
      <c r="A19" t="s">
        <v>10</v>
      </c>
      <c r="B19" t="s">
        <v>87</v>
      </c>
      <c r="C19" t="s">
        <v>119</v>
      </c>
      <c r="D19">
        <v>1</v>
      </c>
      <c r="E19">
        <f xml:space="preserve"> D19 *Constants!$C$1</f>
        <v>5</v>
      </c>
      <c r="F19" s="4">
        <v>0.43</v>
      </c>
      <c r="G19" s="2">
        <f t="shared" si="0"/>
        <v>2.15</v>
      </c>
    </row>
    <row r="20" spans="1:7" x14ac:dyDescent="0.45">
      <c r="A20" t="s">
        <v>10</v>
      </c>
      <c r="B20" s="5" t="s">
        <v>27</v>
      </c>
      <c r="C20" t="s">
        <v>28</v>
      </c>
      <c r="D20">
        <v>2</v>
      </c>
      <c r="E20">
        <f xml:space="preserve"> D20 *Constants!$C$1</f>
        <v>10</v>
      </c>
      <c r="F20" s="4">
        <v>0.38900000000000001</v>
      </c>
      <c r="G20" s="2">
        <f t="shared" si="0"/>
        <v>3.89</v>
      </c>
    </row>
    <row r="21" spans="1:7" x14ac:dyDescent="0.45">
      <c r="A21" t="s">
        <v>10</v>
      </c>
      <c r="B21" s="5" t="s">
        <v>29</v>
      </c>
      <c r="C21" t="s">
        <v>30</v>
      </c>
      <c r="D21">
        <v>1</v>
      </c>
      <c r="E21">
        <f xml:space="preserve"> D21 *Constants!$C$1</f>
        <v>5</v>
      </c>
      <c r="F21" s="4">
        <v>0.36</v>
      </c>
      <c r="G21" s="2">
        <f t="shared" si="0"/>
        <v>1.7999999999999998</v>
      </c>
    </row>
    <row r="22" spans="1:7" x14ac:dyDescent="0.45">
      <c r="A22" t="s">
        <v>10</v>
      </c>
      <c r="B22" t="s">
        <v>31</v>
      </c>
      <c r="C22" t="s">
        <v>32</v>
      </c>
      <c r="D22">
        <v>1</v>
      </c>
      <c r="E22">
        <f xml:space="preserve"> D22 *Constants!$C$1</f>
        <v>5</v>
      </c>
      <c r="F22" s="4">
        <v>1.23</v>
      </c>
      <c r="G22" s="2">
        <f t="shared" si="0"/>
        <v>6.15</v>
      </c>
    </row>
    <row r="23" spans="1:7" x14ac:dyDescent="0.45">
      <c r="A23" t="s">
        <v>10</v>
      </c>
      <c r="B23" t="s">
        <v>97</v>
      </c>
      <c r="C23" t="s">
        <v>120</v>
      </c>
      <c r="D23">
        <v>1</v>
      </c>
      <c r="E23">
        <f xml:space="preserve"> D23 *Constants!$C$1</f>
        <v>5</v>
      </c>
      <c r="F23" s="4">
        <v>1.72</v>
      </c>
      <c r="G23" s="2">
        <f t="shared" si="0"/>
        <v>8.6</v>
      </c>
    </row>
    <row r="24" spans="1:7" x14ac:dyDescent="0.45">
      <c r="A24" t="s">
        <v>10</v>
      </c>
      <c r="B24" t="s">
        <v>100</v>
      </c>
      <c r="C24" t="s">
        <v>121</v>
      </c>
      <c r="D24">
        <v>1</v>
      </c>
      <c r="E24">
        <f xml:space="preserve"> D24 *Constants!$C$1</f>
        <v>5</v>
      </c>
      <c r="F24" s="4">
        <v>0.36</v>
      </c>
      <c r="G24" s="2">
        <f t="shared" si="0"/>
        <v>1.7999999999999998</v>
      </c>
    </row>
    <row r="25" spans="1:7" x14ac:dyDescent="0.45">
      <c r="A25" t="s">
        <v>10</v>
      </c>
      <c r="B25" s="5" t="s">
        <v>124</v>
      </c>
      <c r="C25" t="s">
        <v>127</v>
      </c>
      <c r="D25">
        <v>1</v>
      </c>
      <c r="E25">
        <f xml:space="preserve"> D25 *Constants!$C$1</f>
        <v>5</v>
      </c>
      <c r="F25" s="4">
        <v>0.12</v>
      </c>
      <c r="G25" s="2">
        <f t="shared" ref="G25" si="1" xml:space="preserve"> E25 *F25</f>
        <v>0.6</v>
      </c>
    </row>
    <row r="26" spans="1:7" x14ac:dyDescent="0.45">
      <c r="A26" t="s">
        <v>10</v>
      </c>
      <c r="B26" s="5" t="s">
        <v>125</v>
      </c>
      <c r="C26" t="s">
        <v>126</v>
      </c>
      <c r="D26">
        <v>1</v>
      </c>
      <c r="E26">
        <f xml:space="preserve"> D26 *Constants!$C$1</f>
        <v>5</v>
      </c>
      <c r="F26" s="4">
        <v>0.12</v>
      </c>
      <c r="G26" s="2">
        <f t="shared" si="0"/>
        <v>0.6</v>
      </c>
    </row>
    <row r="27" spans="1:7" x14ac:dyDescent="0.45">
      <c r="A27" t="s">
        <v>33</v>
      </c>
      <c r="G27" s="2">
        <f>SUM(G2:G26)</f>
        <v>82.084999999999994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EA32-5678-41C9-92DA-56BDDCDB8FAB}">
  <dimension ref="A1:G28"/>
  <sheetViews>
    <sheetView topLeftCell="A4" workbookViewId="0">
      <selection activeCell="E27" activeCellId="2" sqref="E25 E26 E27"/>
    </sheetView>
  </sheetViews>
  <sheetFormatPr defaultRowHeight="14.25" x14ac:dyDescent="0.45"/>
  <cols>
    <col min="4" max="4" width="48.33203125" bestFit="1" customWidth="1"/>
    <col min="5" max="5" width="23.06640625" bestFit="1" customWidth="1"/>
    <col min="6" max="6" width="8.86328125" customWidth="1"/>
  </cols>
  <sheetData>
    <row r="1" spans="1:7" x14ac:dyDescent="0.45"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 x14ac:dyDescent="0.45">
      <c r="A2">
        <v>1</v>
      </c>
      <c r="D2" t="s">
        <v>58</v>
      </c>
      <c r="E2" t="s">
        <v>40</v>
      </c>
      <c r="F2" t="s">
        <v>59</v>
      </c>
      <c r="G2">
        <v>13</v>
      </c>
    </row>
    <row r="3" spans="1:7" x14ac:dyDescent="0.45">
      <c r="A3">
        <v>2</v>
      </c>
      <c r="D3" t="s">
        <v>60</v>
      </c>
      <c r="E3" t="s">
        <v>41</v>
      </c>
      <c r="F3" t="s">
        <v>59</v>
      </c>
      <c r="G3">
        <v>4</v>
      </c>
    </row>
    <row r="4" spans="1:7" x14ac:dyDescent="0.45">
      <c r="A4">
        <v>3</v>
      </c>
      <c r="D4" t="s">
        <v>61</v>
      </c>
      <c r="E4" t="s">
        <v>62</v>
      </c>
      <c r="F4" t="s">
        <v>59</v>
      </c>
      <c r="G4">
        <v>2</v>
      </c>
    </row>
    <row r="5" spans="1:7" x14ac:dyDescent="0.45">
      <c r="A5">
        <v>4</v>
      </c>
      <c r="D5" t="s">
        <v>63</v>
      </c>
      <c r="E5" t="s">
        <v>64</v>
      </c>
      <c r="F5" t="s">
        <v>59</v>
      </c>
      <c r="G5">
        <v>2</v>
      </c>
    </row>
    <row r="6" spans="1:7" x14ac:dyDescent="0.45">
      <c r="A6">
        <v>5</v>
      </c>
      <c r="D6" t="s">
        <v>65</v>
      </c>
      <c r="E6" t="s">
        <v>44</v>
      </c>
      <c r="F6" t="s">
        <v>59</v>
      </c>
      <c r="G6">
        <v>2</v>
      </c>
    </row>
    <row r="7" spans="1:7" x14ac:dyDescent="0.45">
      <c r="A7">
        <v>6</v>
      </c>
      <c r="D7" t="s">
        <v>66</v>
      </c>
      <c r="E7" t="s">
        <v>42</v>
      </c>
      <c r="F7" t="s">
        <v>43</v>
      </c>
      <c r="G7">
        <v>2</v>
      </c>
    </row>
    <row r="8" spans="1:7" x14ac:dyDescent="0.45">
      <c r="A8">
        <v>7</v>
      </c>
      <c r="D8" t="s">
        <v>67</v>
      </c>
      <c r="E8" t="s">
        <v>18</v>
      </c>
      <c r="F8" t="s">
        <v>68</v>
      </c>
      <c r="G8">
        <v>3</v>
      </c>
    </row>
    <row r="9" spans="1:7" x14ac:dyDescent="0.45">
      <c r="A9">
        <v>8</v>
      </c>
      <c r="D9" t="s">
        <v>69</v>
      </c>
      <c r="E9" t="s">
        <v>70</v>
      </c>
      <c r="F9" t="s">
        <v>68</v>
      </c>
      <c r="G9">
        <v>2</v>
      </c>
    </row>
    <row r="10" spans="1:7" x14ac:dyDescent="0.45">
      <c r="A10">
        <v>9</v>
      </c>
      <c r="D10" t="s">
        <v>71</v>
      </c>
      <c r="E10">
        <v>27.4</v>
      </c>
      <c r="F10" t="s">
        <v>68</v>
      </c>
      <c r="G10">
        <v>2</v>
      </c>
    </row>
    <row r="11" spans="1:7" x14ac:dyDescent="0.45">
      <c r="A11">
        <v>10</v>
      </c>
      <c r="D11" t="s">
        <v>72</v>
      </c>
      <c r="E11" t="s">
        <v>17</v>
      </c>
      <c r="F11" t="s">
        <v>68</v>
      </c>
      <c r="G11">
        <v>1</v>
      </c>
    </row>
    <row r="12" spans="1:7" x14ac:dyDescent="0.45">
      <c r="A12">
        <v>11</v>
      </c>
      <c r="D12" t="s">
        <v>73</v>
      </c>
      <c r="E12">
        <v>120</v>
      </c>
      <c r="F12" t="s">
        <v>68</v>
      </c>
      <c r="G12">
        <v>1</v>
      </c>
    </row>
    <row r="13" spans="1:7" x14ac:dyDescent="0.45">
      <c r="A13">
        <v>12</v>
      </c>
      <c r="D13" t="s">
        <v>74</v>
      </c>
      <c r="E13" t="s">
        <v>75</v>
      </c>
      <c r="F13" t="s">
        <v>76</v>
      </c>
      <c r="G13">
        <v>1</v>
      </c>
    </row>
    <row r="14" spans="1:7" x14ac:dyDescent="0.45">
      <c r="A14">
        <v>13</v>
      </c>
      <c r="D14" t="s">
        <v>77</v>
      </c>
      <c r="E14" t="s">
        <v>78</v>
      </c>
      <c r="F14" t="s">
        <v>79</v>
      </c>
      <c r="G14">
        <v>1</v>
      </c>
    </row>
    <row r="15" spans="1:7" x14ac:dyDescent="0.45">
      <c r="A15">
        <v>14</v>
      </c>
      <c r="D15" t="s">
        <v>45</v>
      </c>
      <c r="E15" t="s">
        <v>80</v>
      </c>
      <c r="F15" t="s">
        <v>81</v>
      </c>
      <c r="G15">
        <v>1</v>
      </c>
    </row>
    <row r="16" spans="1:7" x14ac:dyDescent="0.45">
      <c r="A16">
        <v>15</v>
      </c>
      <c r="D16" t="s">
        <v>46</v>
      </c>
      <c r="E16" t="s">
        <v>25</v>
      </c>
      <c r="F16" t="s">
        <v>48</v>
      </c>
      <c r="G16">
        <v>1</v>
      </c>
    </row>
    <row r="17" spans="1:7" x14ac:dyDescent="0.45">
      <c r="A17">
        <v>16</v>
      </c>
      <c r="D17" t="s">
        <v>47</v>
      </c>
      <c r="E17" t="s">
        <v>82</v>
      </c>
      <c r="F17" t="s">
        <v>83</v>
      </c>
      <c r="G17">
        <v>1</v>
      </c>
    </row>
    <row r="18" spans="1:7" x14ac:dyDescent="0.45">
      <c r="A18">
        <v>17</v>
      </c>
      <c r="D18" t="s">
        <v>49</v>
      </c>
      <c r="E18" t="s">
        <v>84</v>
      </c>
      <c r="F18" t="s">
        <v>85</v>
      </c>
      <c r="G18">
        <v>1</v>
      </c>
    </row>
    <row r="19" spans="1:7" x14ac:dyDescent="0.45">
      <c r="A19">
        <v>18</v>
      </c>
      <c r="D19" t="s">
        <v>86</v>
      </c>
      <c r="E19" t="s">
        <v>87</v>
      </c>
      <c r="F19" t="s">
        <v>85</v>
      </c>
      <c r="G19">
        <v>1</v>
      </c>
    </row>
    <row r="20" spans="1:7" x14ac:dyDescent="0.45">
      <c r="A20">
        <v>19</v>
      </c>
      <c r="D20" t="s">
        <v>50</v>
      </c>
      <c r="E20" t="s">
        <v>88</v>
      </c>
      <c r="F20" t="s">
        <v>51</v>
      </c>
      <c r="G20">
        <v>2</v>
      </c>
    </row>
    <row r="21" spans="1:7" x14ac:dyDescent="0.45">
      <c r="A21">
        <v>20</v>
      </c>
      <c r="D21" t="s">
        <v>52</v>
      </c>
      <c r="E21" t="s">
        <v>53</v>
      </c>
      <c r="F21" t="s">
        <v>89</v>
      </c>
      <c r="G21">
        <v>1</v>
      </c>
    </row>
    <row r="22" spans="1:7" x14ac:dyDescent="0.45">
      <c r="A22">
        <v>21</v>
      </c>
      <c r="D22" t="s">
        <v>90</v>
      </c>
      <c r="E22" t="s">
        <v>91</v>
      </c>
      <c r="F22" t="s">
        <v>56</v>
      </c>
      <c r="G22">
        <v>1</v>
      </c>
    </row>
    <row r="23" spans="1:7" x14ac:dyDescent="0.45">
      <c r="A23">
        <v>22</v>
      </c>
      <c r="D23" t="s">
        <v>92</v>
      </c>
      <c r="E23" t="s">
        <v>57</v>
      </c>
      <c r="F23" t="s">
        <v>56</v>
      </c>
      <c r="G23">
        <v>1</v>
      </c>
    </row>
    <row r="24" spans="1:7" x14ac:dyDescent="0.45">
      <c r="A24">
        <v>23</v>
      </c>
      <c r="D24" t="s">
        <v>54</v>
      </c>
      <c r="E24" t="s">
        <v>55</v>
      </c>
      <c r="F24" t="s">
        <v>56</v>
      </c>
      <c r="G24">
        <v>1</v>
      </c>
    </row>
    <row r="25" spans="1:7" x14ac:dyDescent="0.45">
      <c r="A25">
        <v>24</v>
      </c>
      <c r="D25" t="s">
        <v>93</v>
      </c>
      <c r="E25" t="s">
        <v>94</v>
      </c>
      <c r="F25" t="s">
        <v>95</v>
      </c>
      <c r="G25">
        <v>1</v>
      </c>
    </row>
    <row r="26" spans="1:7" x14ac:dyDescent="0.45">
      <c r="A26">
        <v>25</v>
      </c>
      <c r="D26" t="s">
        <v>96</v>
      </c>
      <c r="E26" t="s">
        <v>97</v>
      </c>
      <c r="F26" t="s">
        <v>98</v>
      </c>
      <c r="G26">
        <v>1</v>
      </c>
    </row>
    <row r="27" spans="1:7" x14ac:dyDescent="0.45">
      <c r="A27">
        <v>26</v>
      </c>
      <c r="D27" t="s">
        <v>99</v>
      </c>
      <c r="E27" t="s">
        <v>100</v>
      </c>
      <c r="F27" t="s">
        <v>101</v>
      </c>
      <c r="G27">
        <v>1</v>
      </c>
    </row>
    <row r="28" spans="1:7" x14ac:dyDescent="0.45">
      <c r="A28">
        <v>27</v>
      </c>
      <c r="D28" t="s">
        <v>102</v>
      </c>
      <c r="E28" t="s">
        <v>103</v>
      </c>
      <c r="F28" t="s">
        <v>104</v>
      </c>
      <c r="G2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4F03-FD0B-43C0-A9EF-67AB4B7E829F}">
  <dimension ref="A1:C1"/>
  <sheetViews>
    <sheetView workbookViewId="0">
      <selection activeCell="F24" sqref="F24"/>
    </sheetView>
  </sheetViews>
  <sheetFormatPr defaultRowHeight="14.25" x14ac:dyDescent="0.45"/>
  <sheetData>
    <row r="1" spans="1:3" x14ac:dyDescent="0.45">
      <c r="A1" s="6" t="s">
        <v>7</v>
      </c>
      <c r="B1" s="6"/>
      <c r="C1" s="1">
        <v>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Ordering Sheet</vt:lpstr>
      <vt:lpstr>BOM Comparison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Wyman, Shane</dc:creator>
  <cp:lastModifiedBy>Wyman, Shane</cp:lastModifiedBy>
  <dcterms:created xsi:type="dcterms:W3CDTF">2025-12-01T15:07:49Z</dcterms:created>
  <dcterms:modified xsi:type="dcterms:W3CDTF">2026-01-08T07:30:51Z</dcterms:modified>
</cp:coreProperties>
</file>